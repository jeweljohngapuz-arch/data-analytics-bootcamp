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58001c9132fdc/Documents/data-analytics-bootcamp/projects/excel/"/>
    </mc:Choice>
  </mc:AlternateContent>
  <xr:revisionPtr revIDLastSave="160" documentId="8_{FA5BF60C-3C29-421E-A1D9-92507913CA62}" xr6:coauthVersionLast="47" xr6:coauthVersionMax="47" xr10:uidLastSave="{38D721B7-7AE3-4533-870C-1DAB056A9635}"/>
  <bookViews>
    <workbookView xWindow="19090" yWindow="-110" windowWidth="19420" windowHeight="10420" xr2:uid="{C00BC348-1C07-4D93-A83E-740A185BD454}"/>
  </bookViews>
  <sheets>
    <sheet name="summary - KPI" sheetId="4" r:id="rId1"/>
    <sheet name="Detail3" sheetId="9" state="hidden" r:id="rId2"/>
    <sheet name="Detail4" sheetId="11" state="hidden" r:id="rId3"/>
    <sheet name="Detail5" sheetId="12" state="hidden" r:id="rId4"/>
    <sheet name="Detail6" sheetId="13" state="hidden" r:id="rId5"/>
    <sheet name="region analysis" sheetId="3" r:id="rId6"/>
    <sheet name="product analysis" sheetId="2" r:id="rId7"/>
    <sheet name="Detail1" sheetId="7" state="hidden" r:id="rId8"/>
    <sheet name="Detail2" sheetId="8" state="hidden" r:id="rId9"/>
    <sheet name="raw data" sheetId="1" r:id="rId10"/>
  </sheets>
  <calcPr calcId="191029"/>
  <pivotCaches>
    <pivotCache cacheId="5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5" i="4"/>
  <c r="C10" i="4"/>
  <c r="C9" i="4"/>
  <c r="F5" i="2"/>
  <c r="F4" i="2"/>
  <c r="E5" i="2"/>
  <c r="E4" i="2"/>
  <c r="E5" i="3"/>
  <c r="E4" i="3"/>
  <c r="F5" i="3"/>
  <c r="F4" i="3"/>
  <c r="H9" i="1"/>
  <c r="H8" i="1"/>
  <c r="H7" i="1"/>
  <c r="H10" i="1"/>
  <c r="H5" i="1"/>
  <c r="H6" i="1"/>
  <c r="H4" i="1"/>
  <c r="H3" i="1"/>
  <c r="H2" i="1"/>
</calcChain>
</file>

<file path=xl/sharedStrings.xml><?xml version="1.0" encoding="utf-8"?>
<sst xmlns="http://schemas.openxmlformats.org/spreadsheetml/2006/main" count="213" uniqueCount="51">
  <si>
    <t>date</t>
  </si>
  <si>
    <t>customer</t>
  </si>
  <si>
    <t>product</t>
  </si>
  <si>
    <t>category</t>
  </si>
  <si>
    <t>units</t>
  </si>
  <si>
    <t>price</t>
  </si>
  <si>
    <t>region</t>
  </si>
  <si>
    <t>Alice</t>
  </si>
  <si>
    <t>Laptop</t>
  </si>
  <si>
    <t>Electronics</t>
  </si>
  <si>
    <t>West</t>
  </si>
  <si>
    <t>Bob</t>
  </si>
  <si>
    <t>Mouse</t>
  </si>
  <si>
    <t>Charlie</t>
  </si>
  <si>
    <t>Desk</t>
  </si>
  <si>
    <t>Furniture</t>
  </si>
  <si>
    <t>East</t>
  </si>
  <si>
    <t>Keyboard</t>
  </si>
  <si>
    <t>David</t>
  </si>
  <si>
    <t>Chair</t>
  </si>
  <si>
    <t>North</t>
  </si>
  <si>
    <t>Eva</t>
  </si>
  <si>
    <t>Monitor</t>
  </si>
  <si>
    <t>Frank</t>
  </si>
  <si>
    <t>South</t>
  </si>
  <si>
    <t>Grace</t>
  </si>
  <si>
    <t>revenue</t>
  </si>
  <si>
    <t>Row Labels</t>
  </si>
  <si>
    <t>Grand Total</t>
  </si>
  <si>
    <t>Sum of revenue</t>
  </si>
  <si>
    <t>Revenue by Product</t>
  </si>
  <si>
    <t>Revenue by Region</t>
  </si>
  <si>
    <t>Product</t>
  </si>
  <si>
    <t>Revenue</t>
  </si>
  <si>
    <t>Top Region:</t>
  </si>
  <si>
    <t>Bottom Region:</t>
  </si>
  <si>
    <t>Region</t>
  </si>
  <si>
    <t>Bottom Product:</t>
  </si>
  <si>
    <t>Top Product:</t>
  </si>
  <si>
    <t>Summary</t>
  </si>
  <si>
    <t>1. Which product generates the most revenue?</t>
  </si>
  <si>
    <t>2. Which region generates the most revenue?</t>
  </si>
  <si>
    <t>3. Which product generates the least revenue?</t>
  </si>
  <si>
    <t>4. Which region performs weakest?</t>
  </si>
  <si>
    <t>Mouse generated the least revenue of $75</t>
  </si>
  <si>
    <t>The north region was the weakest performer.</t>
  </si>
  <si>
    <t>Details for Sum of revenue - product: Laptop</t>
  </si>
  <si>
    <t>Details for Sum of revenue - region: South</t>
  </si>
  <si>
    <t>Details for Sum of revenue</t>
  </si>
  <si>
    <t>Data suggest that the laptop generated the most revenue of $18,000</t>
  </si>
  <si>
    <t>The south region generated the most revenue amounting to $16,800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</si>
</sst>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/>
    </xf>
    <xf numFmtId="44" fontId="0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welisWealthy" refreshedDate="46092.505845601852" createdVersion="8" refreshedVersion="8" minRefreshableVersion="3" recordCount="9" xr:uid="{A3A8B35C-BE00-464F-B0B6-1295EB3DDCB5}">
  <cacheSource type="worksheet">
    <worksheetSource ref="A1:H10" sheet="raw data"/>
  </cacheSource>
  <cacheFields count="8">
    <cacheField name="date" numFmtId="14">
      <sharedItems containsSemiMixedTypes="0" containsNonDate="0" containsDate="1" containsString="0" minDate="2026-01-02T00:00:00" maxDate="2026-01-09T00:00:00"/>
    </cacheField>
    <cacheField name="customer" numFmtId="0">
      <sharedItems/>
    </cacheField>
    <cacheField name="product" numFmtId="0">
      <sharedItems count="6">
        <s v="Laptop"/>
        <s v="Mouse"/>
        <s v="Desk"/>
        <s v="Keyboard"/>
        <s v="Chair"/>
        <s v="Monitor"/>
      </sharedItems>
    </cacheField>
    <cacheField name="category" numFmtId="0">
      <sharedItems/>
    </cacheField>
    <cacheField name="units" numFmtId="0">
      <sharedItems containsSemiMixedTypes="0" containsString="0" containsNumber="1" containsInteger="1" minValue="1" maxValue="200"/>
    </cacheField>
    <cacheField name="price" numFmtId="0">
      <sharedItems containsSemiMixedTypes="0" containsString="0" containsNumber="1" containsInteger="1" minValue="25" maxValue="1200"/>
    </cacheField>
    <cacheField name="region" numFmtId="0">
      <sharedItems count="4">
        <s v="West"/>
        <s v="East"/>
        <s v="North"/>
        <s v="South"/>
      </sharedItems>
    </cacheField>
    <cacheField name="revenue" numFmtId="0">
      <sharedItems containsSemiMixedTypes="0" containsString="0" containsNumber="1" containsInteger="1" minValue="50" maxValue="1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6-01-02T00:00:00"/>
    <s v="Alice"/>
    <x v="0"/>
    <s v="Electronics"/>
    <n v="1"/>
    <n v="1200"/>
    <x v="0"/>
    <n v="1200"/>
  </r>
  <r>
    <d v="2026-01-03T00:00:00"/>
    <s v="Bob"/>
    <x v="1"/>
    <s v="Electronics"/>
    <n v="2"/>
    <n v="25"/>
    <x v="0"/>
    <n v="50"/>
  </r>
  <r>
    <d v="2026-01-03T00:00:00"/>
    <s v="Charlie"/>
    <x v="2"/>
    <s v="Furniture"/>
    <n v="1"/>
    <n v="300"/>
    <x v="1"/>
    <n v="300"/>
  </r>
  <r>
    <d v="2026-01-04T00:00:00"/>
    <s v="Alice"/>
    <x v="3"/>
    <s v="Electronics"/>
    <n v="80"/>
    <n v="80"/>
    <x v="0"/>
    <n v="6400"/>
  </r>
  <r>
    <d v="2026-01-05T00:00:00"/>
    <s v="David"/>
    <x v="4"/>
    <s v="Furniture"/>
    <n v="6"/>
    <n v="150"/>
    <x v="2"/>
    <n v="900"/>
  </r>
  <r>
    <d v="2026-01-06T00:00:00"/>
    <s v="Eva"/>
    <x v="5"/>
    <s v="Electronics"/>
    <n v="1"/>
    <n v="400"/>
    <x v="1"/>
    <n v="400"/>
  </r>
  <r>
    <d v="2026-01-07T00:00:00"/>
    <s v="Frank"/>
    <x v="0"/>
    <s v="Electronics"/>
    <n v="14"/>
    <n v="1200"/>
    <x v="3"/>
    <n v="16800"/>
  </r>
  <r>
    <d v="2026-01-07T00:00:00"/>
    <s v="Bob"/>
    <x v="1"/>
    <s v="Electronics"/>
    <n v="200"/>
    <n v="25"/>
    <x v="0"/>
    <n v="5000"/>
  </r>
  <r>
    <d v="2026-01-08T00:00:00"/>
    <s v="Grace"/>
    <x v="2"/>
    <s v="Furniture"/>
    <n v="1"/>
    <n v="300"/>
    <x v="1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BCCFD-2DBE-4490-8863-B5F1F8F9D6F7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6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6B5AF-B4E3-4E56-B3F0-2613D45AABB1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numFmtId="14" showAll="0"/>
    <pivotField showAll="0"/>
    <pivotField axis="axisRow" showAll="0" sortType="descending">
      <items count="7">
        <item x="4"/>
        <item x="2"/>
        <item x="3"/>
        <item x="0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 v="3"/>
    </i>
    <i>
      <x v="2"/>
    </i>
    <i>
      <x v="5"/>
    </i>
    <i>
      <x/>
    </i>
    <i>
      <x v="1"/>
    </i>
    <i>
      <x v="4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7227C6-1DA9-4897-B9BD-683377C28ABF}" name="Table5" displayName="Table5" ref="A3:H5" totalsRowShown="0">
  <autoFilter ref="A3:H5" xr:uid="{0A7227C6-1DA9-4897-B9BD-683377C28ABF}"/>
  <tableColumns count="8">
    <tableColumn id="1" xr3:uid="{B5B60180-6AE7-42CF-A2DF-C44BA3567D4C}" name="date" dataDxfId="3"/>
    <tableColumn id="2" xr3:uid="{B126A031-F704-4144-A40C-81CDB17F6482}" name="customer"/>
    <tableColumn id="3" xr3:uid="{382F6C31-D7C8-437D-9742-42F8E8FC4EC5}" name="product"/>
    <tableColumn id="4" xr3:uid="{A2F88AB8-C0B5-405C-AD49-A6A512F0DDB3}" name="category"/>
    <tableColumn id="5" xr3:uid="{74A98D34-2CD1-4BB1-81D8-2EC26F34C289}" name="units"/>
    <tableColumn id="6" xr3:uid="{9F8096C8-AFE1-4BD8-BDE1-05B610BDA7B6}" name="price"/>
    <tableColumn id="7" xr3:uid="{EA0BDD93-D915-40E2-8BC6-C825B0C455EB}" name="region"/>
    <tableColumn id="8" xr3:uid="{61367820-A178-4789-A9B8-FB3A79F98208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FF81DF-2FC9-4C07-B4BC-8B5C52038CC4}" name="Table7" displayName="Table7" ref="A3:H12" totalsRowShown="0">
  <autoFilter ref="A3:H12" xr:uid="{D4FF81DF-2FC9-4C07-B4BC-8B5C52038CC4}"/>
  <tableColumns count="8">
    <tableColumn id="1" xr3:uid="{56198822-B728-4AB6-ABB1-39AEF588AD4E}" name="date" dataDxfId="2"/>
    <tableColumn id="2" xr3:uid="{1F368303-36BC-4383-9EF8-7CCDCE87FECB}" name="customer"/>
    <tableColumn id="3" xr3:uid="{1458081D-77E4-4A1D-A7D5-3A489BEA0A43}" name="product"/>
    <tableColumn id="4" xr3:uid="{346B4E21-321B-4E14-983C-0C09AC628201}" name="category"/>
    <tableColumn id="5" xr3:uid="{A365806A-022A-4255-9977-E1130CFB6853}" name="units"/>
    <tableColumn id="6" xr3:uid="{BACF1C75-B4B4-41ED-8696-0B2E2D51F1D8}" name="price"/>
    <tableColumn id="7" xr3:uid="{FF2AC851-797A-48B6-978D-1CF4C130F1C8}" name="region"/>
    <tableColumn id="8" xr3:uid="{4FDA58A0-F40A-4615-88B8-7901D3D7A500}" name="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673E00-9382-4EAA-A441-246DB905CFF3}" name="Table8" displayName="Table8" ref="A3:H5" totalsRowShown="0">
  <autoFilter ref="A3:H5" xr:uid="{44673E00-9382-4EAA-A441-246DB905CFF3}"/>
  <tableColumns count="8">
    <tableColumn id="1" xr3:uid="{4B1C2F6B-2258-435C-8ADB-ABE097386E29}" name="date" dataDxfId="1"/>
    <tableColumn id="2" xr3:uid="{7243B7ED-4B67-49F0-8267-03337976DF31}" name="customer"/>
    <tableColumn id="3" xr3:uid="{16500A4D-BEFE-4999-BCAE-B104A94B01C5}" name="product"/>
    <tableColumn id="4" xr3:uid="{A11AE4F4-1EBB-4EBC-B3A4-2A4B4B9F4666}" name="category"/>
    <tableColumn id="5" xr3:uid="{9E9F7557-0D2E-4701-82A3-5E8D7B292DA8}" name="units"/>
    <tableColumn id="6" xr3:uid="{AF3E298D-B782-4439-8705-BE786E2098BF}" name="price"/>
    <tableColumn id="7" xr3:uid="{430821F1-6D1A-4373-AAF9-F3506409BBC5}" name="region"/>
    <tableColumn id="8" xr3:uid="{3C652308-1105-4962-84C9-791DA57EFCEB}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B195A5-3278-431F-BFED-C5424CAE025B}" name="Table9" displayName="Table9" ref="A3:H5" totalsRowShown="0">
  <autoFilter ref="A3:H5" xr:uid="{1CB195A5-3278-431F-BFED-C5424CAE025B}"/>
  <tableColumns count="8">
    <tableColumn id="1" xr3:uid="{04DF68C2-CEAA-48BC-8972-8BFC43DF6649}" name="date" dataDxfId="0"/>
    <tableColumn id="2" xr3:uid="{53C667D6-602C-4891-9F25-6F04144FDDD1}" name="customer"/>
    <tableColumn id="3" xr3:uid="{1D852747-A8E9-46B7-88EC-6612832B02D5}" name="product"/>
    <tableColumn id="4" xr3:uid="{5A3EA6FC-6919-4590-868B-189A99029F1C}" name="category"/>
    <tableColumn id="5" xr3:uid="{EBEFC0F3-7487-425C-9C94-7DF946CA6CE4}" name="units"/>
    <tableColumn id="6" xr3:uid="{9D2B7809-EE99-456B-8BFB-C3FC21E15A88}" name="price"/>
    <tableColumn id="7" xr3:uid="{864B3973-6001-4AB2-8902-AC058B1383A7}" name="region"/>
    <tableColumn id="8" xr3:uid="{1327C9D3-B8BD-4694-BDAE-8A23E718CE3E}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908D08-1F95-4CD3-9193-54BE44D83AF8}" name="Table3" displayName="Table3" ref="A3:H4" totalsRowShown="0">
  <autoFilter ref="A3:H4" xr:uid="{85908D08-1F95-4CD3-9193-54BE44D83AF8}"/>
  <tableColumns count="8">
    <tableColumn id="1" xr3:uid="{03BD4EB0-6C22-4ED1-95A6-597D118131E2}" name="date" dataDxfId="5"/>
    <tableColumn id="2" xr3:uid="{80AE6EF6-91BB-4612-A7B8-571C8AF6FD4A}" name="customer"/>
    <tableColumn id="3" xr3:uid="{70460BFA-3F67-4A7D-AA01-865F816E8017}" name="product"/>
    <tableColumn id="4" xr3:uid="{ABE12272-B93F-410B-84F0-0880D0C23FEF}" name="category"/>
    <tableColumn id="5" xr3:uid="{EF133F64-00EC-4389-9120-029D63C59105}" name="units"/>
    <tableColumn id="6" xr3:uid="{4103CFBC-D2AE-44CF-9497-CF8DA949B104}" name="price"/>
    <tableColumn id="7" xr3:uid="{E67ADD68-F9A0-4C0C-AB30-9866464A2C71}" name="region"/>
    <tableColumn id="8" xr3:uid="{6F87677A-80E9-4FD5-8471-FCAA5E78118F}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90CC76-FE82-4DDF-9535-CD4C273B0416}" name="Table4" displayName="Table4" ref="A3:H4" totalsRowShown="0">
  <autoFilter ref="A3:H4" xr:uid="{EA90CC76-FE82-4DDF-9535-CD4C273B0416}"/>
  <tableColumns count="8">
    <tableColumn id="1" xr3:uid="{9B525014-BC4F-4ECE-A433-022755EDD69F}" name="date" dataDxfId="4"/>
    <tableColumn id="2" xr3:uid="{8387A8E6-DE4B-4885-AB62-B8BC07BE9960}" name="customer"/>
    <tableColumn id="3" xr3:uid="{21F67F0E-39DB-4ECA-9C43-69FF62B9F3B1}" name="product"/>
    <tableColumn id="4" xr3:uid="{D371A1C1-2481-40CC-B55B-D30E396A07CF}" name="category"/>
    <tableColumn id="5" xr3:uid="{69AE1975-CD37-40DE-AF8A-A5A1C3C29646}" name="units"/>
    <tableColumn id="6" xr3:uid="{89BB9549-79A4-4449-8536-F2F0AB400FCD}" name="price"/>
    <tableColumn id="7" xr3:uid="{FA17E0B6-061E-4639-B634-68F7B03A4227}" name="region"/>
    <tableColumn id="8" xr3:uid="{D3AAE13F-B044-46BD-9EA9-D0E687F60022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461D-4934-407A-9F74-6C7FA4E02B87}">
  <dimension ref="A2:D19"/>
  <sheetViews>
    <sheetView tabSelected="1" topLeftCell="A3" workbookViewId="0">
      <selection activeCell="A15" sqref="A15"/>
    </sheetView>
  </sheetViews>
  <sheetFormatPr defaultRowHeight="14.4" x14ac:dyDescent="0.3"/>
  <cols>
    <col min="1" max="1" width="16.109375" customWidth="1"/>
    <col min="3" max="3" width="12.109375" customWidth="1"/>
    <col min="7" max="7" width="16" customWidth="1"/>
    <col min="9" max="9" width="14.109375" customWidth="1"/>
  </cols>
  <sheetData>
    <row r="2" spans="1:4" x14ac:dyDescent="0.3">
      <c r="A2" s="2" t="s">
        <v>39</v>
      </c>
    </row>
    <row r="4" spans="1:4" x14ac:dyDescent="0.3">
      <c r="B4" s="8" t="s">
        <v>36</v>
      </c>
      <c r="C4" s="8" t="s">
        <v>33</v>
      </c>
    </row>
    <row r="5" spans="1:4" x14ac:dyDescent="0.3">
      <c r="A5" s="6" t="s">
        <v>34</v>
      </c>
      <c r="B5" s="7" t="s">
        <v>24</v>
      </c>
      <c r="C5" s="9">
        <f>'region analysis'!B4</f>
        <v>16800</v>
      </c>
    </row>
    <row r="6" spans="1:4" x14ac:dyDescent="0.3">
      <c r="A6" s="6" t="s">
        <v>35</v>
      </c>
      <c r="B6" s="7" t="s">
        <v>20</v>
      </c>
      <c r="C6" s="9">
        <f>'region analysis'!B7</f>
        <v>900</v>
      </c>
    </row>
    <row r="8" spans="1:4" x14ac:dyDescent="0.3">
      <c r="B8" s="8" t="s">
        <v>32</v>
      </c>
      <c r="C8" s="8" t="s">
        <v>33</v>
      </c>
    </row>
    <row r="9" spans="1:4" x14ac:dyDescent="0.3">
      <c r="A9" s="6" t="s">
        <v>38</v>
      </c>
      <c r="B9" s="7" t="s">
        <v>8</v>
      </c>
      <c r="C9" s="9">
        <f>'product analysis'!B4</f>
        <v>18000</v>
      </c>
    </row>
    <row r="10" spans="1:4" x14ac:dyDescent="0.3">
      <c r="A10" s="6" t="s">
        <v>37</v>
      </c>
      <c r="B10" s="7" t="s">
        <v>12</v>
      </c>
      <c r="C10" s="9">
        <f>'product analysis'!B9</f>
        <v>400</v>
      </c>
    </row>
    <row r="12" spans="1:4" x14ac:dyDescent="0.3">
      <c r="A12" s="2" t="s">
        <v>40</v>
      </c>
      <c r="B12" s="2"/>
      <c r="C12" s="2"/>
      <c r="D12" s="2"/>
    </row>
    <row r="13" spans="1:4" x14ac:dyDescent="0.3">
      <c r="A13" t="s">
        <v>49</v>
      </c>
    </row>
    <row r="14" spans="1:4" x14ac:dyDescent="0.3">
      <c r="A14" s="2" t="s">
        <v>41</v>
      </c>
      <c r="B14" s="2"/>
      <c r="C14" s="2"/>
      <c r="D14" s="2"/>
    </row>
    <row r="15" spans="1:4" x14ac:dyDescent="0.3">
      <c r="A15" t="s">
        <v>50</v>
      </c>
    </row>
    <row r="16" spans="1:4" x14ac:dyDescent="0.3">
      <c r="A16" s="2" t="s">
        <v>42</v>
      </c>
      <c r="B16" s="2"/>
      <c r="C16" s="2"/>
      <c r="D16" s="2"/>
    </row>
    <row r="17" spans="1:3" x14ac:dyDescent="0.3">
      <c r="A17" t="s">
        <v>44</v>
      </c>
    </row>
    <row r="18" spans="1:3" x14ac:dyDescent="0.3">
      <c r="A18" s="2" t="s">
        <v>43</v>
      </c>
      <c r="B18" s="2"/>
      <c r="C18" s="2"/>
    </row>
    <row r="19" spans="1:3" x14ac:dyDescent="0.3">
      <c r="A1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540E-0AAE-4690-A0E9-92CC42F0AF4A}">
  <dimension ref="A1:H5"/>
  <sheetViews>
    <sheetView workbookViewId="0">
      <selection activeCell="H5" sqref="H5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9.77734375" bestFit="1" customWidth="1"/>
    <col min="4" max="4" width="10.33203125" bestFit="1" customWidth="1"/>
    <col min="5" max="7" width="9" bestFit="1" customWidth="1"/>
    <col min="8" max="8" width="9.88671875" bestFit="1" customWidth="1"/>
  </cols>
  <sheetData>
    <row r="1" spans="1:8" x14ac:dyDescent="0.3">
      <c r="A1" s="2" t="s">
        <v>46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26</v>
      </c>
    </row>
    <row r="4" spans="1:8" x14ac:dyDescent="0.3">
      <c r="A4" s="1">
        <v>46024</v>
      </c>
      <c r="B4" t="s">
        <v>7</v>
      </c>
      <c r="C4" t="s">
        <v>8</v>
      </c>
      <c r="D4" t="s">
        <v>9</v>
      </c>
      <c r="E4">
        <v>1</v>
      </c>
      <c r="F4">
        <v>1200</v>
      </c>
      <c r="G4" t="s">
        <v>10</v>
      </c>
      <c r="H4">
        <v>1200</v>
      </c>
    </row>
    <row r="5" spans="1:8" x14ac:dyDescent="0.3">
      <c r="A5" s="1">
        <v>46029</v>
      </c>
      <c r="B5" t="s">
        <v>23</v>
      </c>
      <c r="C5" t="s">
        <v>8</v>
      </c>
      <c r="D5" t="s">
        <v>9</v>
      </c>
      <c r="E5">
        <v>4</v>
      </c>
      <c r="F5">
        <v>1200</v>
      </c>
      <c r="G5" t="s">
        <v>24</v>
      </c>
      <c r="H5">
        <v>4800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E3A9-7E24-43BC-B0D2-1C4D0174885A}">
  <dimension ref="A1:H12"/>
  <sheetViews>
    <sheetView workbookViewId="0">
      <selection activeCell="I16" sqref="I16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9.77734375" bestFit="1" customWidth="1"/>
    <col min="4" max="4" width="10.33203125" bestFit="1" customWidth="1"/>
    <col min="5" max="7" width="9" bestFit="1" customWidth="1"/>
    <col min="8" max="8" width="9.88671875" bestFit="1" customWidth="1"/>
  </cols>
  <sheetData>
    <row r="1" spans="1:8" x14ac:dyDescent="0.3">
      <c r="A1" s="2" t="s">
        <v>48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26</v>
      </c>
    </row>
    <row r="4" spans="1:8" x14ac:dyDescent="0.3">
      <c r="A4" s="1">
        <v>46027</v>
      </c>
      <c r="B4" t="s">
        <v>18</v>
      </c>
      <c r="C4" t="s">
        <v>19</v>
      </c>
      <c r="D4" t="s">
        <v>15</v>
      </c>
      <c r="E4">
        <v>6</v>
      </c>
      <c r="F4">
        <v>150</v>
      </c>
      <c r="G4" t="s">
        <v>20</v>
      </c>
      <c r="H4">
        <v>900</v>
      </c>
    </row>
    <row r="5" spans="1:8" x14ac:dyDescent="0.3">
      <c r="A5" s="1">
        <v>46025</v>
      </c>
      <c r="B5" t="s">
        <v>13</v>
      </c>
      <c r="C5" t="s">
        <v>14</v>
      </c>
      <c r="D5" t="s">
        <v>15</v>
      </c>
      <c r="E5">
        <v>1</v>
      </c>
      <c r="F5">
        <v>300</v>
      </c>
      <c r="G5" t="s">
        <v>16</v>
      </c>
      <c r="H5">
        <v>300</v>
      </c>
    </row>
    <row r="6" spans="1:8" x14ac:dyDescent="0.3">
      <c r="A6" s="1">
        <v>46030</v>
      </c>
      <c r="B6" t="s">
        <v>25</v>
      </c>
      <c r="C6" t="s">
        <v>14</v>
      </c>
      <c r="D6" t="s">
        <v>15</v>
      </c>
      <c r="E6">
        <v>1</v>
      </c>
      <c r="F6">
        <v>300</v>
      </c>
      <c r="G6" t="s">
        <v>16</v>
      </c>
      <c r="H6">
        <v>300</v>
      </c>
    </row>
    <row r="7" spans="1:8" x14ac:dyDescent="0.3">
      <c r="A7" s="1">
        <v>46026</v>
      </c>
      <c r="B7" t="s">
        <v>7</v>
      </c>
      <c r="C7" t="s">
        <v>17</v>
      </c>
      <c r="D7" t="s">
        <v>9</v>
      </c>
      <c r="E7">
        <v>1</v>
      </c>
      <c r="F7">
        <v>80</v>
      </c>
      <c r="G7" t="s">
        <v>10</v>
      </c>
      <c r="H7">
        <v>80</v>
      </c>
    </row>
    <row r="8" spans="1:8" x14ac:dyDescent="0.3">
      <c r="A8" s="1">
        <v>46024</v>
      </c>
      <c r="B8" t="s">
        <v>7</v>
      </c>
      <c r="C8" t="s">
        <v>8</v>
      </c>
      <c r="D8" t="s">
        <v>9</v>
      </c>
      <c r="E8">
        <v>1</v>
      </c>
      <c r="F8">
        <v>1200</v>
      </c>
      <c r="G8" t="s">
        <v>10</v>
      </c>
      <c r="H8">
        <v>1200</v>
      </c>
    </row>
    <row r="9" spans="1:8" x14ac:dyDescent="0.3">
      <c r="A9" s="1">
        <v>46029</v>
      </c>
      <c r="B9" t="s">
        <v>23</v>
      </c>
      <c r="C9" t="s">
        <v>8</v>
      </c>
      <c r="D9" t="s">
        <v>9</v>
      </c>
      <c r="E9">
        <v>4</v>
      </c>
      <c r="F9">
        <v>1200</v>
      </c>
      <c r="G9" t="s">
        <v>24</v>
      </c>
      <c r="H9">
        <v>4800</v>
      </c>
    </row>
    <row r="10" spans="1:8" x14ac:dyDescent="0.3">
      <c r="A10" s="1">
        <v>46028</v>
      </c>
      <c r="B10" t="s">
        <v>21</v>
      </c>
      <c r="C10" t="s">
        <v>22</v>
      </c>
      <c r="D10" t="s">
        <v>9</v>
      </c>
      <c r="E10">
        <v>1</v>
      </c>
      <c r="F10">
        <v>400</v>
      </c>
      <c r="G10" t="s">
        <v>16</v>
      </c>
      <c r="H10">
        <v>400</v>
      </c>
    </row>
    <row r="11" spans="1:8" x14ac:dyDescent="0.3">
      <c r="A11" s="1">
        <v>46025</v>
      </c>
      <c r="B11" t="s">
        <v>11</v>
      </c>
      <c r="C11" t="s">
        <v>12</v>
      </c>
      <c r="D11" t="s">
        <v>9</v>
      </c>
      <c r="E11">
        <v>2</v>
      </c>
      <c r="F11">
        <v>25</v>
      </c>
      <c r="G11" t="s">
        <v>10</v>
      </c>
      <c r="H11">
        <v>50</v>
      </c>
    </row>
    <row r="12" spans="1:8" x14ac:dyDescent="0.3">
      <c r="A12" s="1">
        <v>46029</v>
      </c>
      <c r="B12" t="s">
        <v>11</v>
      </c>
      <c r="C12" t="s">
        <v>12</v>
      </c>
      <c r="D12" t="s">
        <v>9</v>
      </c>
      <c r="E12">
        <v>1</v>
      </c>
      <c r="F12">
        <v>25</v>
      </c>
      <c r="G12" t="s">
        <v>10</v>
      </c>
      <c r="H12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2AAF-4DC7-49C7-8C9C-69BA898354FB}">
  <dimension ref="A1:H5"/>
  <sheetViews>
    <sheetView workbookViewId="0">
      <selection activeCell="D12" sqref="D12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9.77734375" bestFit="1" customWidth="1"/>
    <col min="4" max="4" width="10.33203125" bestFit="1" customWidth="1"/>
    <col min="5" max="7" width="9" bestFit="1" customWidth="1"/>
    <col min="8" max="8" width="9.88671875" bestFit="1" customWidth="1"/>
  </cols>
  <sheetData>
    <row r="1" spans="1:8" x14ac:dyDescent="0.3">
      <c r="A1" s="2" t="s">
        <v>46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26</v>
      </c>
    </row>
    <row r="4" spans="1:8" x14ac:dyDescent="0.3">
      <c r="A4" s="1">
        <v>46024</v>
      </c>
      <c r="B4" t="s">
        <v>7</v>
      </c>
      <c r="C4" t="s">
        <v>8</v>
      </c>
      <c r="D4" t="s">
        <v>9</v>
      </c>
      <c r="E4">
        <v>1</v>
      </c>
      <c r="F4">
        <v>1200</v>
      </c>
      <c r="G4" t="s">
        <v>10</v>
      </c>
      <c r="H4">
        <v>1200</v>
      </c>
    </row>
    <row r="5" spans="1:8" x14ac:dyDescent="0.3">
      <c r="A5" s="1">
        <v>46029</v>
      </c>
      <c r="B5" t="s">
        <v>23</v>
      </c>
      <c r="C5" t="s">
        <v>8</v>
      </c>
      <c r="D5" t="s">
        <v>9</v>
      </c>
      <c r="E5">
        <v>4</v>
      </c>
      <c r="F5">
        <v>1200</v>
      </c>
      <c r="G5" t="s">
        <v>24</v>
      </c>
      <c r="H5">
        <v>4800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32B1-DE13-4BFA-A841-2178E25DBD7C}">
  <dimension ref="A1:H5"/>
  <sheetViews>
    <sheetView workbookViewId="0">
      <selection activeCell="A3" sqref="A3:H5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9.77734375" bestFit="1" customWidth="1"/>
    <col min="4" max="4" width="10.33203125" bestFit="1" customWidth="1"/>
    <col min="5" max="7" width="9" bestFit="1" customWidth="1"/>
    <col min="8" max="8" width="9.88671875" bestFit="1" customWidth="1"/>
  </cols>
  <sheetData>
    <row r="1" spans="1:8" x14ac:dyDescent="0.3">
      <c r="A1" s="2" t="s">
        <v>46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26</v>
      </c>
    </row>
    <row r="4" spans="1:8" x14ac:dyDescent="0.3">
      <c r="A4" s="1">
        <v>46024</v>
      </c>
      <c r="B4" t="s">
        <v>7</v>
      </c>
      <c r="C4" t="s">
        <v>8</v>
      </c>
      <c r="D4" t="s">
        <v>9</v>
      </c>
      <c r="E4">
        <v>1</v>
      </c>
      <c r="F4">
        <v>1200</v>
      </c>
      <c r="G4" t="s">
        <v>10</v>
      </c>
      <c r="H4">
        <v>1200</v>
      </c>
    </row>
    <row r="5" spans="1:8" x14ac:dyDescent="0.3">
      <c r="A5" s="1">
        <v>46029</v>
      </c>
      <c r="B5" t="s">
        <v>23</v>
      </c>
      <c r="C5" t="s">
        <v>8</v>
      </c>
      <c r="D5" t="s">
        <v>9</v>
      </c>
      <c r="E5">
        <v>14</v>
      </c>
      <c r="F5">
        <v>1200</v>
      </c>
      <c r="G5" t="s">
        <v>24</v>
      </c>
      <c r="H5">
        <v>16800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AA25-AB53-4A07-AF33-6EEC6D14D62F}">
  <dimension ref="A2:F8"/>
  <sheetViews>
    <sheetView workbookViewId="0">
      <selection activeCell="E6" sqref="E6"/>
    </sheetView>
  </sheetViews>
  <sheetFormatPr defaultRowHeight="14.4" x14ac:dyDescent="0.3"/>
  <cols>
    <col min="1" max="1" width="12.6640625" bestFit="1" customWidth="1"/>
    <col min="2" max="2" width="14.109375" bestFit="1" customWidth="1"/>
    <col min="4" max="4" width="15.44140625" customWidth="1"/>
    <col min="6" max="6" width="11.44140625" bestFit="1" customWidth="1"/>
  </cols>
  <sheetData>
    <row r="2" spans="1:6" x14ac:dyDescent="0.3">
      <c r="A2" s="2" t="s">
        <v>31</v>
      </c>
    </row>
    <row r="3" spans="1:6" x14ac:dyDescent="0.3">
      <c r="A3" s="3" t="s">
        <v>27</v>
      </c>
      <c r="B3" t="s">
        <v>29</v>
      </c>
      <c r="E3" s="8" t="s">
        <v>36</v>
      </c>
      <c r="F3" s="8" t="s">
        <v>33</v>
      </c>
    </row>
    <row r="4" spans="1:6" x14ac:dyDescent="0.3">
      <c r="A4" s="4" t="s">
        <v>24</v>
      </c>
      <c r="B4" s="5">
        <v>16800</v>
      </c>
      <c r="D4" s="6" t="s">
        <v>34</v>
      </c>
      <c r="E4" s="7" t="str">
        <f>A4</f>
        <v>South</v>
      </c>
      <c r="F4" s="9">
        <f>B4</f>
        <v>16800</v>
      </c>
    </row>
    <row r="5" spans="1:6" x14ac:dyDescent="0.3">
      <c r="A5" s="4" t="s">
        <v>10</v>
      </c>
      <c r="B5" s="5">
        <v>12650</v>
      </c>
      <c r="D5" s="6" t="s">
        <v>35</v>
      </c>
      <c r="E5" s="7" t="str">
        <f>A7</f>
        <v>North</v>
      </c>
      <c r="F5" s="9">
        <f>B7</f>
        <v>900</v>
      </c>
    </row>
    <row r="6" spans="1:6" x14ac:dyDescent="0.3">
      <c r="A6" s="4" t="s">
        <v>16</v>
      </c>
      <c r="B6" s="5">
        <v>1000</v>
      </c>
    </row>
    <row r="7" spans="1:6" x14ac:dyDescent="0.3">
      <c r="A7" s="4" t="s">
        <v>20</v>
      </c>
      <c r="B7" s="5">
        <v>900</v>
      </c>
    </row>
    <row r="8" spans="1:6" x14ac:dyDescent="0.3">
      <c r="A8" s="4" t="s">
        <v>28</v>
      </c>
      <c r="B8" s="5">
        <v>31350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5A76-0FA4-4284-913C-18A366B18B1F}">
  <dimension ref="A2:F10"/>
  <sheetViews>
    <sheetView topLeftCell="A2" workbookViewId="0">
      <selection activeCell="D12" sqref="D12"/>
    </sheetView>
  </sheetViews>
  <sheetFormatPr defaultRowHeight="14.4" x14ac:dyDescent="0.3"/>
  <cols>
    <col min="1" max="1" width="12.6640625" bestFit="1" customWidth="1"/>
    <col min="2" max="2" width="14.109375" bestFit="1" customWidth="1"/>
    <col min="4" max="4" width="16.77734375" customWidth="1"/>
    <col min="6" max="6" width="11.44140625" bestFit="1" customWidth="1"/>
  </cols>
  <sheetData>
    <row r="2" spans="1:6" x14ac:dyDescent="0.3">
      <c r="A2" s="2" t="s">
        <v>30</v>
      </c>
    </row>
    <row r="3" spans="1:6" x14ac:dyDescent="0.3">
      <c r="A3" s="3" t="s">
        <v>27</v>
      </c>
      <c r="B3" t="s">
        <v>29</v>
      </c>
      <c r="E3" s="8" t="s">
        <v>32</v>
      </c>
      <c r="F3" s="8" t="s">
        <v>33</v>
      </c>
    </row>
    <row r="4" spans="1:6" x14ac:dyDescent="0.3">
      <c r="A4" s="4" t="s">
        <v>8</v>
      </c>
      <c r="B4" s="5">
        <v>18000</v>
      </c>
      <c r="D4" s="6" t="s">
        <v>38</v>
      </c>
      <c r="E4" s="7" t="str">
        <f>A4</f>
        <v>Laptop</v>
      </c>
      <c r="F4" s="9">
        <f>B4</f>
        <v>18000</v>
      </c>
    </row>
    <row r="5" spans="1:6" x14ac:dyDescent="0.3">
      <c r="A5" s="4" t="s">
        <v>17</v>
      </c>
      <c r="B5" s="5">
        <v>6400</v>
      </c>
      <c r="D5" s="6" t="s">
        <v>37</v>
      </c>
      <c r="E5" s="7" t="str">
        <f>A9</f>
        <v>Monitor</v>
      </c>
      <c r="F5" s="9">
        <f>B9</f>
        <v>400</v>
      </c>
    </row>
    <row r="6" spans="1:6" x14ac:dyDescent="0.3">
      <c r="A6" s="4" t="s">
        <v>12</v>
      </c>
      <c r="B6" s="5">
        <v>5050</v>
      </c>
    </row>
    <row r="7" spans="1:6" x14ac:dyDescent="0.3">
      <c r="A7" s="4" t="s">
        <v>19</v>
      </c>
      <c r="B7" s="5">
        <v>900</v>
      </c>
    </row>
    <row r="8" spans="1:6" x14ac:dyDescent="0.3">
      <c r="A8" s="4" t="s">
        <v>14</v>
      </c>
      <c r="B8" s="5">
        <v>600</v>
      </c>
    </row>
    <row r="9" spans="1:6" x14ac:dyDescent="0.3">
      <c r="A9" s="4" t="s">
        <v>22</v>
      </c>
      <c r="B9" s="5">
        <v>400</v>
      </c>
    </row>
    <row r="10" spans="1:6" x14ac:dyDescent="0.3">
      <c r="A10" s="4" t="s">
        <v>28</v>
      </c>
      <c r="B10" s="5">
        <v>31350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75D4-D419-4A4D-8301-0FA3BCA5F4CC}">
  <dimension ref="A1:H4"/>
  <sheetViews>
    <sheetView workbookViewId="0">
      <selection activeCell="H9" sqref="H9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9.77734375" bestFit="1" customWidth="1"/>
    <col min="4" max="4" width="10.33203125" bestFit="1" customWidth="1"/>
    <col min="5" max="7" width="9" bestFit="1" customWidth="1"/>
    <col min="8" max="8" width="9.88671875" bestFit="1" customWidth="1"/>
  </cols>
  <sheetData>
    <row r="1" spans="1:8" x14ac:dyDescent="0.3">
      <c r="A1" s="2" t="s">
        <v>47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26</v>
      </c>
    </row>
    <row r="4" spans="1:8" x14ac:dyDescent="0.3">
      <c r="A4" s="1">
        <v>46029</v>
      </c>
      <c r="B4" t="s">
        <v>23</v>
      </c>
      <c r="C4" t="s">
        <v>8</v>
      </c>
      <c r="D4" t="s">
        <v>9</v>
      </c>
      <c r="E4">
        <v>4</v>
      </c>
      <c r="F4">
        <v>1200</v>
      </c>
      <c r="G4" t="s">
        <v>24</v>
      </c>
      <c r="H4">
        <v>6800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064-A96B-40B7-9564-0B0853300CBD}">
  <dimension ref="A1:H4"/>
  <sheetViews>
    <sheetView workbookViewId="0">
      <selection activeCell="A3" sqref="A3:H4"/>
    </sheetView>
  </sheetViews>
  <sheetFormatPr defaultRowHeight="14.4" x14ac:dyDescent="0.3"/>
  <cols>
    <col min="1" max="1" width="9" bestFit="1" customWidth="1"/>
    <col min="2" max="2" width="11.109375" bestFit="1" customWidth="1"/>
    <col min="3" max="3" width="9.77734375" bestFit="1" customWidth="1"/>
    <col min="4" max="4" width="10.33203125" bestFit="1" customWidth="1"/>
    <col min="5" max="7" width="9" bestFit="1" customWidth="1"/>
    <col min="8" max="8" width="9.88671875" bestFit="1" customWidth="1"/>
  </cols>
  <sheetData>
    <row r="1" spans="1:8" x14ac:dyDescent="0.3">
      <c r="A1" s="2" t="s">
        <v>47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26</v>
      </c>
    </row>
    <row r="4" spans="1:8" x14ac:dyDescent="0.3">
      <c r="A4" s="1">
        <v>46029</v>
      </c>
      <c r="B4" t="s">
        <v>23</v>
      </c>
      <c r="C4" t="s">
        <v>8</v>
      </c>
      <c r="D4" t="s">
        <v>9</v>
      </c>
      <c r="E4">
        <v>4</v>
      </c>
      <c r="F4">
        <v>1200</v>
      </c>
      <c r="G4" t="s">
        <v>24</v>
      </c>
      <c r="H4">
        <v>4800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5DE5-0CB1-44C8-B93A-AE74271A2D63}">
  <dimension ref="A1:H13"/>
  <sheetViews>
    <sheetView workbookViewId="0">
      <selection activeCell="E6" sqref="E6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26</v>
      </c>
    </row>
    <row r="2" spans="1:8" x14ac:dyDescent="0.3">
      <c r="A2" s="1">
        <v>46024</v>
      </c>
      <c r="B2" t="s">
        <v>7</v>
      </c>
      <c r="C2" t="s">
        <v>8</v>
      </c>
      <c r="D2" t="s">
        <v>9</v>
      </c>
      <c r="E2">
        <v>1</v>
      </c>
      <c r="F2">
        <v>1200</v>
      </c>
      <c r="G2" t="s">
        <v>10</v>
      </c>
      <c r="H2">
        <f>E2*F2</f>
        <v>1200</v>
      </c>
    </row>
    <row r="3" spans="1:8" x14ac:dyDescent="0.3">
      <c r="A3" s="1">
        <v>46025</v>
      </c>
      <c r="B3" t="s">
        <v>11</v>
      </c>
      <c r="C3" t="s">
        <v>12</v>
      </c>
      <c r="D3" t="s">
        <v>9</v>
      </c>
      <c r="E3">
        <v>2</v>
      </c>
      <c r="F3">
        <v>25</v>
      </c>
      <c r="G3" t="s">
        <v>10</v>
      </c>
      <c r="H3">
        <f>E3*F3</f>
        <v>50</v>
      </c>
    </row>
    <row r="4" spans="1:8" x14ac:dyDescent="0.3">
      <c r="A4" s="1">
        <v>46025</v>
      </c>
      <c r="B4" t="s">
        <v>13</v>
      </c>
      <c r="C4" t="s">
        <v>14</v>
      </c>
      <c r="D4" t="s">
        <v>15</v>
      </c>
      <c r="E4">
        <v>1</v>
      </c>
      <c r="F4">
        <v>300</v>
      </c>
      <c r="G4" t="s">
        <v>16</v>
      </c>
      <c r="H4">
        <f>E4*F4</f>
        <v>300</v>
      </c>
    </row>
    <row r="5" spans="1:8" x14ac:dyDescent="0.3">
      <c r="A5" s="1">
        <v>46026</v>
      </c>
      <c r="B5" t="s">
        <v>7</v>
      </c>
      <c r="C5" t="s">
        <v>17</v>
      </c>
      <c r="D5" t="s">
        <v>9</v>
      </c>
      <c r="E5">
        <v>80</v>
      </c>
      <c r="F5">
        <v>80</v>
      </c>
      <c r="G5" t="s">
        <v>10</v>
      </c>
      <c r="H5">
        <f>E5*F5</f>
        <v>6400</v>
      </c>
    </row>
    <row r="6" spans="1:8" x14ac:dyDescent="0.3">
      <c r="A6" s="1">
        <v>46027</v>
      </c>
      <c r="B6" t="s">
        <v>18</v>
      </c>
      <c r="C6" t="s">
        <v>19</v>
      </c>
      <c r="D6" t="s">
        <v>15</v>
      </c>
      <c r="E6">
        <v>6</v>
      </c>
      <c r="F6">
        <v>150</v>
      </c>
      <c r="G6" t="s">
        <v>20</v>
      </c>
      <c r="H6">
        <f>E6*F6</f>
        <v>900</v>
      </c>
    </row>
    <row r="7" spans="1:8" x14ac:dyDescent="0.3">
      <c r="A7" s="1">
        <v>46028</v>
      </c>
      <c r="B7" t="s">
        <v>21</v>
      </c>
      <c r="C7" t="s">
        <v>22</v>
      </c>
      <c r="D7" t="s">
        <v>9</v>
      </c>
      <c r="E7">
        <v>1</v>
      </c>
      <c r="F7">
        <v>400</v>
      </c>
      <c r="G7" t="s">
        <v>16</v>
      </c>
      <c r="H7">
        <f>E7*F7</f>
        <v>400</v>
      </c>
    </row>
    <row r="8" spans="1:8" x14ac:dyDescent="0.3">
      <c r="A8" s="1">
        <v>46029</v>
      </c>
      <c r="B8" t="s">
        <v>23</v>
      </c>
      <c r="C8" t="s">
        <v>8</v>
      </c>
      <c r="D8" t="s">
        <v>9</v>
      </c>
      <c r="E8">
        <v>14</v>
      </c>
      <c r="F8">
        <v>1200</v>
      </c>
      <c r="G8" t="s">
        <v>24</v>
      </c>
      <c r="H8">
        <f>E8*F8</f>
        <v>16800</v>
      </c>
    </row>
    <row r="9" spans="1:8" x14ac:dyDescent="0.3">
      <c r="A9" s="1">
        <v>46029</v>
      </c>
      <c r="B9" t="s">
        <v>11</v>
      </c>
      <c r="C9" t="s">
        <v>12</v>
      </c>
      <c r="D9" t="s">
        <v>9</v>
      </c>
      <c r="E9">
        <v>200</v>
      </c>
      <c r="F9">
        <v>25</v>
      </c>
      <c r="G9" t="s">
        <v>10</v>
      </c>
      <c r="H9">
        <f>E9*F9</f>
        <v>5000</v>
      </c>
    </row>
    <row r="10" spans="1:8" x14ac:dyDescent="0.3">
      <c r="A10" s="1">
        <v>46030</v>
      </c>
      <c r="B10" t="s">
        <v>25</v>
      </c>
      <c r="C10" t="s">
        <v>14</v>
      </c>
      <c r="D10" t="s">
        <v>15</v>
      </c>
      <c r="E10">
        <v>1</v>
      </c>
      <c r="F10">
        <v>300</v>
      </c>
      <c r="G10" t="s">
        <v>16</v>
      </c>
      <c r="H10">
        <f>E10*F10</f>
        <v>300</v>
      </c>
    </row>
    <row r="11" spans="1:8" x14ac:dyDescent="0.3">
      <c r="A11" s="1"/>
    </row>
    <row r="12" spans="1:8" x14ac:dyDescent="0.3">
      <c r="A12" s="1"/>
    </row>
    <row r="13" spans="1:8" x14ac:dyDescent="0.3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- KPI</vt:lpstr>
      <vt:lpstr>Detail3</vt:lpstr>
      <vt:lpstr>Detail4</vt:lpstr>
      <vt:lpstr>Detail5</vt:lpstr>
      <vt:lpstr>Detail6</vt:lpstr>
      <vt:lpstr>region analysis</vt:lpstr>
      <vt:lpstr>product analysis</vt:lpstr>
      <vt:lpstr>Detail1</vt:lpstr>
      <vt:lpstr>Detail2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JewelisWealthy</dc:creator>
  <cp:lastModifiedBy>jewel gapuz</cp:lastModifiedBy>
  <dcterms:created xsi:type="dcterms:W3CDTF">2026-03-11T12:28:20Z</dcterms:created>
  <dcterms:modified xsi:type="dcterms:W3CDTF">2026-03-11T18:26:34Z</dcterms:modified>
</cp:coreProperties>
</file>